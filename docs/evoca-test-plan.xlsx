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Test Plan" state="visible" r:id="rId5"/>
    <sheet sheetId="3" name="Summary" state="visible" r:id="rId6"/>
  </sheets>
  <calcPr calcId="171027"/>
</workbook>
</file>

<file path=xl/sharedStrings.xml><?xml version="1.0" encoding="utf-8"?>
<sst xmlns="http://schemas.openxmlformats.org/spreadsheetml/2006/main" count="733" uniqueCount="347">
  <si>
    <t>Evoca — Test Plan</t>
  </si>
  <si>
    <t/>
  </si>
  <si>
    <t>How to use</t>
  </si>
  <si>
    <t>Work through the 'Test Plan' sheet top to bottom. For each row, sign in with the listed Test Account, go to the Route, follow the Steps, and compare against Expected Result.</t>
  </si>
  <si>
    <t>Recording</t>
  </si>
  <si>
    <t>Set Status from the dropdown. Add Actual Result (esp. on Fail), your name in Tester, and the Date.</t>
  </si>
  <si>
    <t>Status legend</t>
  </si>
  <si>
    <t>Not Started · Pass · Fail · Blocked · N/A</t>
  </si>
  <si>
    <t>Automated column</t>
  </si>
  <si>
    <t>Shows how each case is automated: E2E (Playwright), Unit (Vitest), Unit + E2E, E2E (smoke = shell/initiation only), or Manual. 'Test Ref' names the exact spec/test.</t>
  </si>
  <si>
    <t>Run automation</t>
  </si>
  <si>
    <t>Unit: pnpm test (or pnpm test:coverage, 80% gate on lib/). E2E: pnpm test:e2e. See tests/README.md.</t>
  </si>
  <si>
    <t>Coverage</t>
  </si>
  <si>
    <t>See the Summary sheet for execution status AND the automation breakdown (how much of the plan is automated vs manual-only).</t>
  </si>
  <si>
    <t>Dev login</t>
  </si>
  <si>
    <t>Use /login Dev only panel, or GET /api/dev-login?as=&lt;key&gt;. Dev shortcuts are disabled in production.</t>
  </si>
  <si>
    <t>Manual QA account</t>
  </si>
  <si>
    <t>ssc2324@proton.me owns 'Test Conference 2026' (published, with stream + schedule) and a talk 'Building Realtime Apps'.</t>
  </si>
  <si>
    <t>Companion doc</t>
  </si>
  <si>
    <t>See docs/testing-guide.md for full walkthroughs and known limitations.</t>
  </si>
  <si>
    <t>Known limits</t>
  </si>
  <si>
    <t>Dailymotion is embed-only (no in-app stream creation yet); Speaker Pro not surfaced; emails only with RESEND_API_KEY; Phase 6 polish unfinished.</t>
  </si>
  <si>
    <t>ID</t>
  </si>
  <si>
    <t>Area</t>
  </si>
  <si>
    <t>Feature</t>
  </si>
  <si>
    <t>Test Case</t>
  </si>
  <si>
    <t>Steps</t>
  </si>
  <si>
    <t>Expected Result</t>
  </si>
  <si>
    <t>Test Account</t>
  </si>
  <si>
    <t>Route</t>
  </si>
  <si>
    <t>Priority</t>
  </si>
  <si>
    <t>Automated</t>
  </si>
  <si>
    <t>Test Ref</t>
  </si>
  <si>
    <t>Status</t>
  </si>
  <si>
    <t>Actual Result</t>
  </si>
  <si>
    <t>Tester</t>
  </si>
  <si>
    <t>Date</t>
  </si>
  <si>
    <t>TC-001</t>
  </si>
  <si>
    <t>Auth &amp; Access</t>
  </si>
  <si>
    <t>Sign in via dev panel</t>
  </si>
  <si>
    <t>Open /login → click an account in the Dev only panel</t>
  </si>
  <si>
    <t>Lands on /dashboard signed in as that account</t>
  </si>
  <si>
    <t>any</t>
  </si>
  <si>
    <t>/login</t>
  </si>
  <si>
    <t>High</t>
  </si>
  <si>
    <t>E2E</t>
  </si>
  <si>
    <t>dashboard.spec.ts › auth setup + dashboard</t>
  </si>
  <si>
    <t>Not Started</t>
  </si>
  <si>
    <t>TC-002</t>
  </si>
  <si>
    <t>Sign in via URL</t>
  </si>
  <si>
    <t>GET /api/dev-login?as=organizer-live</t>
  </si>
  <si>
    <t>Session set, redirected to dashboard</t>
  </si>
  <si>
    <t>organizer-live</t>
  </si>
  <si>
    <t>/api/dev-login</t>
  </si>
  <si>
    <t>Medium</t>
  </si>
  <si>
    <t>auth.setup.ts (dev-login via URL)</t>
  </si>
  <si>
    <t>TC-003</t>
  </si>
  <si>
    <t>Route protection</t>
  </si>
  <si>
    <t>Protected route while logged out</t>
  </si>
  <si>
    <t>Sign out, visit /dashboard</t>
  </si>
  <si>
    <t>Redirected to /login</t>
  </si>
  <si>
    <t>—</t>
  </si>
  <si>
    <t>/dashboard</t>
  </si>
  <si>
    <t>dashboard.spec.ts › Protected routes</t>
  </si>
  <si>
    <t>TC-004</t>
  </si>
  <si>
    <t>Access state</t>
  </si>
  <si>
    <t>Free has no organizer access</t>
  </si>
  <si>
    <t>Login as free; attempt a gated organizer action</t>
  </si>
  <si>
    <t>Paywall opens; action blocked</t>
  </si>
  <si>
    <t>free</t>
  </si>
  <si>
    <t>/dashboard/conference</t>
  </si>
  <si>
    <t>dashboard.spec.ts › Free account paywall</t>
  </si>
  <si>
    <t>TC-005</t>
  </si>
  <si>
    <t>Organizer LIVE full access</t>
  </si>
  <si>
    <t>Login as organizer-live; run a gated action</t>
  </si>
  <si>
    <t>Action proceeds, no paywall</t>
  </si>
  <si>
    <t>features-authed.spec.ts › Conference scheduling</t>
  </si>
  <si>
    <t>TC-006</t>
  </si>
  <si>
    <t>One-time PREP before window</t>
  </si>
  <si>
    <t>Login as organizer-onetime-prep; try to present/Q&amp;A</t>
  </si>
  <si>
    <t>Setup allowed; live actions blocked</t>
  </si>
  <si>
    <t>organizer-onetime-prep</t>
  </si>
  <si>
    <t>Unit</t>
  </si>
  <si>
    <t>billing.test.ts (PREP access window)</t>
  </si>
  <si>
    <t>TC-007</t>
  </si>
  <si>
    <t>Expired = NONE</t>
  </si>
  <si>
    <t>Login as organizer-expired; click gated action</t>
  </si>
  <si>
    <t>Content visible; paywall on action</t>
  </si>
  <si>
    <t>organizer-expired</t>
  </si>
  <si>
    <t>billing.test.ts (expired → none)</t>
  </si>
  <si>
    <t>TC-008</t>
  </si>
  <si>
    <t>Grace = PREP</t>
  </si>
  <si>
    <t>Login as organizer-grace</t>
  </si>
  <si>
    <t>Prep access granted; live blocked</t>
  </si>
  <si>
    <t>organizer-grace</t>
  </si>
  <si>
    <t>billing.test.ts (grace → prep)</t>
  </si>
  <si>
    <t>TC-009</t>
  </si>
  <si>
    <t>Billing &amp; Paywall</t>
  </si>
  <si>
    <t>Pricing</t>
  </si>
  <si>
    <t>Pricing renders</t>
  </si>
  <si>
    <t>Visit / and /pricing</t>
  </si>
  <si>
    <t>Plans + prices display correctly</t>
  </si>
  <si>
    <t>/pricing</t>
  </si>
  <si>
    <t>features-public.spec.ts › Pricing page (feat-023)</t>
  </si>
  <si>
    <t>TC-010</t>
  </si>
  <si>
    <t>Currency</t>
  </si>
  <si>
    <t>EUR vs USD by region</t>
  </si>
  <si>
    <t>Check /api/locale response / pricing currency</t>
  </si>
  <si>
    <t>EU shows EUR, non-EU shows USD</t>
  </si>
  <si>
    <t>Unit + E2E</t>
  </si>
  <si>
    <t>locale.test.ts + features-authed.spec.ts (pricing currency)</t>
  </si>
  <si>
    <t>TC-011</t>
  </si>
  <si>
    <t>Checkout</t>
  </si>
  <si>
    <t>Start checkout (test mode)</t>
  </si>
  <si>
    <t>From pricing, start an organizer plan checkout</t>
  </si>
  <si>
    <t>Stripe Checkout opens with correct amount</t>
  </si>
  <si>
    <t>E2E (smoke)</t>
  </si>
  <si>
    <t>features-authed.spec.ts › Stripe upgrade flow</t>
  </si>
  <si>
    <t>TC-012</t>
  </si>
  <si>
    <t>Account</t>
  </si>
  <si>
    <t>Manage plan</t>
  </si>
  <si>
    <t>Open /dashboard/account</t>
  </si>
  <si>
    <t>Plan + manage/portal controls show</t>
  </si>
  <si>
    <t>/dashboard/account</t>
  </si>
  <si>
    <t>features-authed.spec.ts › Account page (plan section)</t>
  </si>
  <si>
    <t>TC-013</t>
  </si>
  <si>
    <t>Paywall</t>
  </si>
  <si>
    <t>Paywall modal copy/CTA</t>
  </si>
  <si>
    <t>Trigger paywall as free user</t>
  </si>
  <si>
    <t>Modal explains plan + links to pricing</t>
  </si>
  <si>
    <t>plans.test.ts (plan catalog / paywall tiers)</t>
  </si>
  <si>
    <t>TC-014</t>
  </si>
  <si>
    <t>Conference Mgmt</t>
  </si>
  <si>
    <t>Create</t>
  </si>
  <si>
    <t>Create conference</t>
  </si>
  <si>
    <t>As organizer-live, create a conference</t>
  </si>
  <si>
    <t>Conference created, appears in list</t>
  </si>
  <si>
    <t>TC-015</t>
  </si>
  <si>
    <t>Days</t>
  </si>
  <si>
    <t>Add/rename day</t>
  </si>
  <si>
    <t>Add a day, rename it inline, save</t>
  </si>
  <si>
    <t>Day persists with new label</t>
  </si>
  <si>
    <t>/dashboard/conference/[id]</t>
  </si>
  <si>
    <t>TC-016</t>
  </si>
  <si>
    <t>Slots</t>
  </si>
  <si>
    <t>Add slot with track</t>
  </si>
  <si>
    <t>Add a slot (type, start, duration, track)</t>
  </si>
  <si>
    <t>Slot appears in timeline under track</t>
  </si>
  <si>
    <t>TC-017</t>
  </si>
  <si>
    <t>Edit/delete slot</t>
  </si>
  <si>
    <t>Edit a slot's fields; delete another</t>
  </si>
  <si>
    <t>Edits persist; deleted slot removed</t>
  </si>
  <si>
    <t>TC-018</t>
  </si>
  <si>
    <t>Speakers</t>
  </si>
  <si>
    <t>Assign speaker by email</t>
  </si>
  <si>
    <t>Assign a speaker to a slot via email</t>
  </si>
  <si>
    <t>Affiliation created (pending)</t>
  </si>
  <si>
    <t>features-authed.spec.ts › Speaker conference talk portal</t>
  </si>
  <si>
    <t>TC-019</t>
  </si>
  <si>
    <t>Call for Papers</t>
  </si>
  <si>
    <t>Settings</t>
  </si>
  <si>
    <t>Enable CFP + custom questions</t>
  </si>
  <si>
    <t>Open CFP settings, enable, add a question</t>
  </si>
  <si>
    <t>Settings + questions saved</t>
  </si>
  <si>
    <t>/dashboard/conference/[id]/cfp</t>
  </si>
  <si>
    <t>features-authed.spec.ts › CFP organizer area</t>
  </si>
  <si>
    <t>TC-020</t>
  </si>
  <si>
    <t>Submission</t>
  </si>
  <si>
    <t>Public proposal submit</t>
  </si>
  <si>
    <t>Logged out, open /cfp/[slug], submit</t>
  </si>
  <si>
    <t>Submission recorded, confirmation shown</t>
  </si>
  <si>
    <t>/cfp/[slug]</t>
  </si>
  <si>
    <t>Manual</t>
  </si>
  <si>
    <t>CFP public submission (manual QA)</t>
  </si>
  <si>
    <t>TC-021</t>
  </si>
  <si>
    <t>Review</t>
  </si>
  <si>
    <t>Rate + accept proposal</t>
  </si>
  <si>
    <t>Open review board, rate, accept one</t>
  </si>
  <si>
    <t>Creates unscheduled slot + pending affiliation</t>
  </si>
  <si>
    <t>/dashboard/conference/[id]/cfp/review</t>
  </si>
  <si>
    <t>CFP review board (manual QA)</t>
  </si>
  <si>
    <t>TC-022</t>
  </si>
  <si>
    <t>Reject / waitlist</t>
  </si>
  <si>
    <t>Reject and waitlist proposals</t>
  </si>
  <si>
    <t>Statuses update; (email if configured)</t>
  </si>
  <si>
    <t>CFP reject/waitlist (manual QA)</t>
  </si>
  <si>
    <t>TC-023</t>
  </si>
  <si>
    <t>Talks &amp; Slides</t>
  </si>
  <si>
    <t>Create talk</t>
  </si>
  <si>
    <t>New talk wizard</t>
  </si>
  <si>
    <t>Walk /dashboard/talks/new steps</t>
  </si>
  <si>
    <t>Talk created and listed</t>
  </si>
  <si>
    <t>speaker-pro</t>
  </si>
  <si>
    <t>/dashboard/talks/new</t>
  </si>
  <si>
    <t>features-authed.spec.ts › Talk slides (new-talk flow)</t>
  </si>
  <si>
    <t>TC-024</t>
  </si>
  <si>
    <t>Slides URL</t>
  </si>
  <si>
    <t>Embed slide URL</t>
  </si>
  <si>
    <t>On slides step, paste an embed URL</t>
  </si>
  <si>
    <t>URL accepted; iframe preview on confirm step</t>
  </si>
  <si>
    <t>features-authed.spec.ts › Talk slides (embed URL)</t>
  </si>
  <si>
    <t>TC-025</t>
  </si>
  <si>
    <t>Slides file</t>
  </si>
  <si>
    <t>Upload PDF/PPTX</t>
  </si>
  <si>
    <t>Upload a PDF or PPTX file</t>
  </si>
  <si>
    <t>Slides extracted; thumbnail grid preview on confirm</t>
  </si>
  <si>
    <t>features-authed.spec.ts › Talk slides (PDF/PPTX upload)</t>
  </si>
  <si>
    <t>TC-026</t>
  </si>
  <si>
    <t>Slides preview</t>
  </si>
  <si>
    <t>Confirm-step preview</t>
  </si>
  <si>
    <t>Reach step 3 after adding slides</t>
  </si>
  <si>
    <t>Preview matches chosen source (grid or iframe)</t>
  </si>
  <si>
    <t>Slide confirm-step preview (manual QA)</t>
  </si>
  <si>
    <t>TC-027</t>
  </si>
  <si>
    <t>Presentation</t>
  </si>
  <si>
    <t>Present</t>
  </si>
  <si>
    <t>Render slides</t>
  </si>
  <si>
    <t>Open /present/[sessionId]</t>
  </si>
  <si>
    <t>Slides render; navigation works</t>
  </si>
  <si>
    <t>/present/[sessionId]</t>
  </si>
  <si>
    <t>Presenter slide render (manual QA — needs live session)</t>
  </si>
  <si>
    <t>TC-028</t>
  </si>
  <si>
    <t>Remote</t>
  </si>
  <si>
    <t>Open phone remote</t>
  </si>
  <si>
    <t>Click phone-remote QR / open /remote/[token]</t>
  </si>
  <si>
    <t>Remote loads, authenticated to session</t>
  </si>
  <si>
    <t>/remote/[token]</t>
  </si>
  <si>
    <t>features-live.spec.ts › Speaker phone remote</t>
  </si>
  <si>
    <t>TC-029</t>
  </si>
  <si>
    <t>Advance slides from phone</t>
  </si>
  <si>
    <t>Use remote next/prev</t>
  </si>
  <si>
    <t>Presenter view updates live</t>
  </si>
  <si>
    <t>remote-token.test.ts + features-live.spec.ts (remote token)</t>
  </si>
  <si>
    <t>TC-030</t>
  </si>
  <si>
    <t>Q&amp;A &amp; Wall</t>
  </si>
  <si>
    <t>Ask</t>
  </si>
  <si>
    <t>Submit question</t>
  </si>
  <si>
    <t>Attendee opens /qna/[sessionId], asks</t>
  </si>
  <si>
    <t>Question appears in queue</t>
  </si>
  <si>
    <t>/qna/[sessionId]</t>
  </si>
  <si>
    <t>features-live.spec.ts › Q&amp;A attendee view</t>
  </si>
  <si>
    <t>TC-031</t>
  </si>
  <si>
    <t>Reactions</t>
  </si>
  <si>
    <t>Send reaction</t>
  </si>
  <si>
    <t>Send reactions from attendee view</t>
  </si>
  <si>
    <t>Reactions register live</t>
  </si>
  <si>
    <t>anon-id.test.ts / lib-misc.test.ts (reaction identity)</t>
  </si>
  <si>
    <t>TC-032</t>
  </si>
  <si>
    <t>Moderation</t>
  </si>
  <si>
    <t>Flag/delete/ban</t>
  </si>
  <si>
    <t>As mod in /present, flag, delete, ban</t>
  </si>
  <si>
    <t>Actions propagate to all clients</t>
  </si>
  <si>
    <t>Q&amp;A moderation propagation (manual QA — needs 2 clients)</t>
  </si>
  <si>
    <t>TC-033</t>
  </si>
  <si>
    <t>Wall</t>
  </si>
  <si>
    <t>Live wall display</t>
  </si>
  <si>
    <t>Open /wall</t>
  </si>
  <si>
    <t>Questions/reactions show on big screen</t>
  </si>
  <si>
    <t>/wall</t>
  </si>
  <si>
    <t>features-live.spec.ts › Live wall</t>
  </si>
  <si>
    <t>TC-034</t>
  </si>
  <si>
    <t>Streams &amp; Public Page</t>
  </si>
  <si>
    <t>Add stream</t>
  </si>
  <si>
    <t>Add per-track stream</t>
  </si>
  <si>
    <t>Live streams section: paste Dailymotion URL/ID + label</t>
  </si>
  <si>
    <t>Stream saved under the track</t>
  </si>
  <si>
    <t>ssc2324@proton.me</t>
  </si>
  <si>
    <t>dailymotion.test.ts (URL/ID parsing for add-stream)</t>
  </si>
  <si>
    <t>TC-035</t>
  </si>
  <si>
    <t>Validation</t>
  </si>
  <si>
    <t>Reject invalid URL</t>
  </si>
  <si>
    <t>Paste a non-Dailymotion / garbage value</t>
  </si>
  <si>
    <t>Inline error; not saved</t>
  </si>
  <si>
    <t>dailymotion.test.ts (rejects invalid URL)</t>
  </si>
  <si>
    <t>TC-036</t>
  </si>
  <si>
    <t>Featured</t>
  </si>
  <si>
    <t>Mark featured stream</t>
  </si>
  <si>
    <t>Mark one stream Featured</t>
  </si>
  <si>
    <t>Only one featured; others cleared</t>
  </si>
  <si>
    <t>Featured-stream toggle (manual QA)</t>
  </si>
  <si>
    <t>TC-037</t>
  </si>
  <si>
    <t>Publish</t>
  </si>
  <si>
    <t>Publish toggle + link</t>
  </si>
  <si>
    <t>Flip Publish on</t>
  </si>
  <si>
    <t>Public /c/&lt;slug&gt; link appears + copyable</t>
  </si>
  <si>
    <t>features-public.spec.ts › Public conference page</t>
  </si>
  <si>
    <t>TC-038</t>
  </si>
  <si>
    <t>Public page</t>
  </si>
  <si>
    <t>View published page</t>
  </si>
  <si>
    <t>Open /c/&lt;slug&gt; logged out</t>
  </si>
  <si>
    <t>Featured stream + schedule render</t>
  </si>
  <si>
    <t>/c/[slug]</t>
  </si>
  <si>
    <t>features-public.spec.ts › Public conference page (renders)</t>
  </si>
  <si>
    <t>TC-039</t>
  </si>
  <si>
    <t>Track switch</t>
  </si>
  <si>
    <t>Switch track stream</t>
  </si>
  <si>
    <t>Use the track switcher on the public page</t>
  </si>
  <si>
    <t>Player swaps to the selected track</t>
  </si>
  <si>
    <t>features-public.spec.ts › Public conference page (track switch)</t>
  </si>
  <si>
    <t>TC-040</t>
  </si>
  <si>
    <t>Schedule</t>
  </si>
  <si>
    <t>Read-only schedule</t>
  </si>
  <si>
    <t>Scroll the public schedule</t>
  </si>
  <si>
    <t>Days/slots/tracks show, no edit controls</t>
  </si>
  <si>
    <t>features-public.spec.ts › Public conference page (schedule)</t>
  </si>
  <si>
    <t>TC-041</t>
  </si>
  <si>
    <t>Negative</t>
  </si>
  <si>
    <t>Unpublished 404</t>
  </si>
  <si>
    <t>Open the slug of an unpublished conference</t>
  </si>
  <si>
    <t>Returns 404</t>
  </si>
  <si>
    <t>features-public.spec.ts › unpublished slug 404</t>
  </si>
  <si>
    <t>TC-042</t>
  </si>
  <si>
    <t>Responsive &amp; A11y</t>
  </si>
  <si>
    <t>Mobile</t>
  </si>
  <si>
    <t>Key pages at 375px</t>
  </si>
  <si>
    <t>Resize to mobile; check dashboard, public page, forms</t>
  </si>
  <si>
    <t>Layouts adapt, no overflow</t>
  </si>
  <si>
    <t>various</t>
  </si>
  <si>
    <t>Responsive sweep (manual QA)</t>
  </si>
  <si>
    <t>TC-043</t>
  </si>
  <si>
    <t>Keyboard</t>
  </si>
  <si>
    <t>Keyboard navigation</t>
  </si>
  <si>
    <t>Tab through forms, dialogs, schedule</t>
  </si>
  <si>
    <t>All controls reachable + operable</t>
  </si>
  <si>
    <t>Keyboard navigation (manual QA)</t>
  </si>
  <si>
    <t>TC-044</t>
  </si>
  <si>
    <t>Buttons</t>
  </si>
  <si>
    <t>Cursor + hover states</t>
  </si>
  <si>
    <t>Hover action buttons in light &amp; dark</t>
  </si>
  <si>
    <t>Pointer cursor + visible hover; good contrast</t>
  </si>
  <si>
    <t>Low</t>
  </si>
  <si>
    <t>Hover/cursor states (manual QA)</t>
  </si>
  <si>
    <t>TC-045</t>
  </si>
  <si>
    <t>Theme</t>
  </si>
  <si>
    <t>Light/dark contrast</t>
  </si>
  <si>
    <t>Toggle theme; review yellow buttons/badges</t>
  </si>
  <si>
    <t>Text legible on yellow in both themes</t>
  </si>
  <si>
    <t>features-public.spec.ts › Theme switcher (feat-011)</t>
  </si>
  <si>
    <t>Count</t>
  </si>
  <si>
    <t>% of Total</t>
  </si>
  <si>
    <t>Pass</t>
  </si>
  <si>
    <t>Fail</t>
  </si>
  <si>
    <t>Blocked</t>
  </si>
  <si>
    <t>N/A</t>
  </si>
  <si>
    <t>Total</t>
  </si>
  <si>
    <t>Automation</t>
  </si>
  <si>
    <t>Automated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</si>
</sst>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A0A0A"/>
      <sz val="16"/>
    </font>
    <font>
      <b/>
      <color rgb="FF0A0A0A"/>
    </font>
    <font>
      <b/>
      <color rgb="FFF7E018"/>
      <sz val="11"/>
    </font>
    <font>
      <b/>
      <sz val="10"/>
    </font>
    <font>
      <b/>
    </font>
  </fonts>
  <fills count="8">
    <fill>
      <patternFill patternType="none"/>
    </fill>
    <fill>
      <patternFill patternType="gray125"/>
    </fill>
    <fill>
      <patternFill patternType="solid">
        <fgColor rgb="FF0A0A0A"/>
      </patternFill>
    </fill>
    <fill>
      <patternFill patternType="solid">
        <fgColor rgb="FFD7F5DD"/>
      </patternFill>
    </fill>
    <fill>
      <patternFill patternType="solid">
        <fgColor rgb="FFF7F7F7"/>
      </patternFill>
    </fill>
    <fill>
      <patternFill patternType="solid">
        <fgColor rgb="FFDDEBFF"/>
      </patternFill>
    </fill>
    <fill>
      <patternFill patternType="solid">
        <fgColor rgb="FFFFF3C7"/>
      </patternFill>
    </fill>
    <fill>
      <patternFill patternType="solid">
        <fgColor rgb="FFF0F0F0"/>
      </patternFill>
    </fill>
  </fills>
  <borders count="2">
    <border>
      <left/>
      <right/>
      <top/>
      <bottom/>
      <diagonal/>
    </border>
    <border>
      <left/>
      <right/>
      <top/>
      <bottom style="thin">
        <color rgb="FF333333"/>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1" xfId="0" applyFont="1" applyFill="1" applyBorder="1" applyAlignment="1">
      <alignment horizontal="left" vertical="center" wrapText="1"/>
    </xf>
    <xf numFmtId="0" fontId="4" fillId="3" borderId="0" xfId="0" applyFont="1" applyFill="1" applyAlignment="1">
      <alignment vertical="top" wrapText="1"/>
    </xf>
    <xf numFmtId="0" fontId="0" fillId="4" borderId="0" xfId="0"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9" fontId="0" fillId="0" borderId="0" xfId="0" applyNumberFormat="1"/>
    <xf numFmtId="0" fontId="5" fillId="0" borderId="0" xfId="0" applyFont="1"/>
    <xf numFmtId="9" fontId="5" fillId="0" borderId="0" xfId="0" applyNumberFormat="1" applyFont="1"/>
  </cellXfs>
  <cellStyles count="1">
    <cellStyle name="Normal" xfId="0" builtinId="0"/>
  </cellStyles>
  <dxfs count="3">
    <dxf>
      <fill>
        <patternFill patternType="solid">
          <bgColor rgb="FFD7F5DD"/>
        </patternFill>
      </fill>
    </dxf>
    <dxf>
      <fill>
        <patternFill patternType="solid">
          <bgColor rgb="FFF8D7DA"/>
        </patternFill>
      </fill>
    </dxf>
    <dxf>
      <fill>
        <patternFill patternType="solid">
          <bgColor rgb="FFFFE9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E018"/>
  </sheetPr>
  <dimension ref="A1:B12"/>
  <sheetFormatPr defaultRowHeight="15" outlineLevelRow="0" outlineLevelCol="0" x14ac:dyDescent="55"/>
  <cols>
    <col min="1" max="1" width="22" customWidth="1"/>
    <col min="2" max="2" width="90" customWidth="1"/>
  </cols>
  <sheetData>
    <row r="1" ht="26" customHeight="1" spans="1:2" x14ac:dyDescent="0.25">
      <c r="A1" s="1" t="s">
        <v>0</v>
      </c>
      <c r="B1" t="s">
        <v>1</v>
      </c>
    </row>
    <row r="2" spans="1:2" x14ac:dyDescent="0.25">
      <c r="A2" s="2" t="s">
        <v>1</v>
      </c>
      <c r="B2" s="3" t="s">
        <v>1</v>
      </c>
    </row>
    <row r="3" spans="1:2" x14ac:dyDescent="0.25">
      <c r="A3" s="2" t="s">
        <v>2</v>
      </c>
      <c r="B3" s="3" t="s">
        <v>3</v>
      </c>
    </row>
    <row r="4" spans="1:2" x14ac:dyDescent="0.25">
      <c r="A4" s="2" t="s">
        <v>4</v>
      </c>
      <c r="B4" s="3" t="s">
        <v>5</v>
      </c>
    </row>
    <row r="5" spans="1:2" x14ac:dyDescent="0.25">
      <c r="A5" s="2" t="s">
        <v>6</v>
      </c>
      <c r="B5" s="3" t="s">
        <v>7</v>
      </c>
    </row>
    <row r="6" spans="1:2" x14ac:dyDescent="0.25">
      <c r="A6" s="2" t="s">
        <v>8</v>
      </c>
      <c r="B6" s="3" t="s">
        <v>9</v>
      </c>
    </row>
    <row r="7" spans="1:2" x14ac:dyDescent="0.25">
      <c r="A7" s="2" t="s">
        <v>10</v>
      </c>
      <c r="B7" s="3" t="s">
        <v>11</v>
      </c>
    </row>
    <row r="8" spans="1:2" x14ac:dyDescent="0.25">
      <c r="A8" s="2" t="s">
        <v>12</v>
      </c>
      <c r="B8" s="3" t="s">
        <v>13</v>
      </c>
    </row>
    <row r="9" spans="1:2" x14ac:dyDescent="0.25">
      <c r="A9" s="2" t="s">
        <v>14</v>
      </c>
      <c r="B9" s="3" t="s">
        <v>15</v>
      </c>
    </row>
    <row r="10" spans="1:2" x14ac:dyDescent="0.25">
      <c r="A10" s="2" t="s">
        <v>16</v>
      </c>
      <c r="B10" s="3" t="s">
        <v>17</v>
      </c>
    </row>
    <row r="11" spans="1:2" x14ac:dyDescent="0.25">
      <c r="A11" s="2" t="s">
        <v>18</v>
      </c>
      <c r="B11" s="3" t="s">
        <v>19</v>
      </c>
    </row>
    <row r="12" spans="1:2" x14ac:dyDescent="0.25">
      <c r="A12" s="2" t="s">
        <v>20</v>
      </c>
      <c r="B12" s="3"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O4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16" customWidth="1"/>
    <col min="4" max="4" width="26" customWidth="1"/>
    <col min="5" max="6" width="40" customWidth="1"/>
    <col min="7" max="7" width="22" customWidth="1"/>
    <col min="8" max="8" width="28" customWidth="1"/>
    <col min="10" max="10" width="13" customWidth="1"/>
    <col min="11" max="11" width="42" customWidth="1"/>
    <col min="12" max="12" width="13" customWidth="1"/>
    <col min="13" max="13" width="32" customWidth="1"/>
    <col min="14" max="15" width="12" customWidth="1"/>
  </cols>
  <sheetData>
    <row r="1" ht="22" customHeight="1" spans="1:15" x14ac:dyDescent="0.25">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row>
    <row r="2" spans="1:15" s="3" customFormat="1" x14ac:dyDescent="0.25">
      <c r="A2" s="3" t="s">
        <v>37</v>
      </c>
      <c r="B2" s="3" t="s">
        <v>38</v>
      </c>
      <c r="C2" s="3" t="s">
        <v>14</v>
      </c>
      <c r="D2" s="3" t="s">
        <v>39</v>
      </c>
      <c r="E2" s="3" t="s">
        <v>40</v>
      </c>
      <c r="F2" s="3" t="s">
        <v>41</v>
      </c>
      <c r="G2" s="3" t="s">
        <v>42</v>
      </c>
      <c r="H2" s="3" t="s">
        <v>43</v>
      </c>
      <c r="I2" s="3" t="s">
        <v>44</v>
      </c>
      <c r="J2" s="5" t="s">
        <v>45</v>
      </c>
      <c r="K2" s="3" t="s">
        <v>46</v>
      </c>
      <c r="L2" s="3" t="s">
        <v>47</v>
      </c>
      <c r="M2" s="3" t="s">
        <v>1</v>
      </c>
      <c r="N2" s="3" t="s">
        <v>1</v>
      </c>
      <c r="O2" s="3" t="s">
        <v>1</v>
      </c>
    </row>
    <row r="3" spans="1:15" s="3" customFormat="1" x14ac:dyDescent="0.25">
      <c r="A3" s="6" t="s">
        <v>48</v>
      </c>
      <c r="B3" s="6" t="s">
        <v>38</v>
      </c>
      <c r="C3" s="6" t="s">
        <v>14</v>
      </c>
      <c r="D3" s="6" t="s">
        <v>49</v>
      </c>
      <c r="E3" s="6" t="s">
        <v>50</v>
      </c>
      <c r="F3" s="6" t="s">
        <v>51</v>
      </c>
      <c r="G3" s="6" t="s">
        <v>52</v>
      </c>
      <c r="H3" s="6" t="s">
        <v>53</v>
      </c>
      <c r="I3" s="6" t="s">
        <v>54</v>
      </c>
      <c r="J3" s="5" t="s">
        <v>45</v>
      </c>
      <c r="K3" s="6" t="s">
        <v>55</v>
      </c>
      <c r="L3" s="6" t="s">
        <v>47</v>
      </c>
      <c r="M3" s="6" t="s">
        <v>1</v>
      </c>
      <c r="N3" s="6" t="s">
        <v>1</v>
      </c>
      <c r="O3" s="6" t="s">
        <v>1</v>
      </c>
    </row>
    <row r="4" spans="1:15" s="3" customFormat="1" x14ac:dyDescent="0.25">
      <c r="A4" s="3" t="s">
        <v>56</v>
      </c>
      <c r="B4" s="3" t="s">
        <v>38</v>
      </c>
      <c r="C4" s="3" t="s">
        <v>57</v>
      </c>
      <c r="D4" s="3" t="s">
        <v>58</v>
      </c>
      <c r="E4" s="3" t="s">
        <v>59</v>
      </c>
      <c r="F4" s="3" t="s">
        <v>60</v>
      </c>
      <c r="G4" s="3" t="s">
        <v>61</v>
      </c>
      <c r="H4" s="3" t="s">
        <v>62</v>
      </c>
      <c r="I4" s="3" t="s">
        <v>44</v>
      </c>
      <c r="J4" s="5" t="s">
        <v>45</v>
      </c>
      <c r="K4" s="3" t="s">
        <v>63</v>
      </c>
      <c r="L4" s="3" t="s">
        <v>47</v>
      </c>
      <c r="M4" s="3" t="s">
        <v>1</v>
      </c>
      <c r="N4" s="3" t="s">
        <v>1</v>
      </c>
      <c r="O4" s="3" t="s">
        <v>1</v>
      </c>
    </row>
    <row r="5" spans="1:15" s="3" customFormat="1" x14ac:dyDescent="0.25">
      <c r="A5" s="6" t="s">
        <v>64</v>
      </c>
      <c r="B5" s="6" t="s">
        <v>38</v>
      </c>
      <c r="C5" s="6" t="s">
        <v>65</v>
      </c>
      <c r="D5" s="6" t="s">
        <v>66</v>
      </c>
      <c r="E5" s="6" t="s">
        <v>67</v>
      </c>
      <c r="F5" s="6" t="s">
        <v>68</v>
      </c>
      <c r="G5" s="6" t="s">
        <v>69</v>
      </c>
      <c r="H5" s="6" t="s">
        <v>70</v>
      </c>
      <c r="I5" s="6" t="s">
        <v>44</v>
      </c>
      <c r="J5" s="5" t="s">
        <v>45</v>
      </c>
      <c r="K5" s="6" t="s">
        <v>71</v>
      </c>
      <c r="L5" s="6" t="s">
        <v>47</v>
      </c>
      <c r="M5" s="6" t="s">
        <v>1</v>
      </c>
      <c r="N5" s="6" t="s">
        <v>1</v>
      </c>
      <c r="O5" s="6" t="s">
        <v>1</v>
      </c>
    </row>
    <row r="6" spans="1:15" s="3" customFormat="1" x14ac:dyDescent="0.25">
      <c r="A6" s="3" t="s">
        <v>72</v>
      </c>
      <c r="B6" s="3" t="s">
        <v>38</v>
      </c>
      <c r="C6" s="3" t="s">
        <v>65</v>
      </c>
      <c r="D6" s="3" t="s">
        <v>73</v>
      </c>
      <c r="E6" s="3" t="s">
        <v>74</v>
      </c>
      <c r="F6" s="3" t="s">
        <v>75</v>
      </c>
      <c r="G6" s="3" t="s">
        <v>52</v>
      </c>
      <c r="H6" s="3" t="s">
        <v>70</v>
      </c>
      <c r="I6" s="3" t="s">
        <v>44</v>
      </c>
      <c r="J6" s="5" t="s">
        <v>45</v>
      </c>
      <c r="K6" s="3" t="s">
        <v>76</v>
      </c>
      <c r="L6" s="3" t="s">
        <v>47</v>
      </c>
      <c r="M6" s="3" t="s">
        <v>1</v>
      </c>
      <c r="N6" s="3" t="s">
        <v>1</v>
      </c>
      <c r="O6" s="3" t="s">
        <v>1</v>
      </c>
    </row>
    <row r="7" spans="1:15" s="3" customFormat="1" x14ac:dyDescent="0.25">
      <c r="A7" s="6" t="s">
        <v>77</v>
      </c>
      <c r="B7" s="6" t="s">
        <v>38</v>
      </c>
      <c r="C7" s="6" t="s">
        <v>65</v>
      </c>
      <c r="D7" s="6" t="s">
        <v>78</v>
      </c>
      <c r="E7" s="6" t="s">
        <v>79</v>
      </c>
      <c r="F7" s="6" t="s">
        <v>80</v>
      </c>
      <c r="G7" s="6" t="s">
        <v>81</v>
      </c>
      <c r="H7" s="6" t="s">
        <v>70</v>
      </c>
      <c r="I7" s="6" t="s">
        <v>44</v>
      </c>
      <c r="J7" s="7" t="s">
        <v>82</v>
      </c>
      <c r="K7" s="6" t="s">
        <v>83</v>
      </c>
      <c r="L7" s="6" t="s">
        <v>47</v>
      </c>
      <c r="M7" s="6" t="s">
        <v>1</v>
      </c>
      <c r="N7" s="6" t="s">
        <v>1</v>
      </c>
      <c r="O7" s="6" t="s">
        <v>1</v>
      </c>
    </row>
    <row r="8" spans="1:15" s="3" customFormat="1" x14ac:dyDescent="0.25">
      <c r="A8" s="3" t="s">
        <v>84</v>
      </c>
      <c r="B8" s="3" t="s">
        <v>38</v>
      </c>
      <c r="C8" s="3" t="s">
        <v>65</v>
      </c>
      <c r="D8" s="3" t="s">
        <v>85</v>
      </c>
      <c r="E8" s="3" t="s">
        <v>86</v>
      </c>
      <c r="F8" s="3" t="s">
        <v>87</v>
      </c>
      <c r="G8" s="3" t="s">
        <v>88</v>
      </c>
      <c r="H8" s="3" t="s">
        <v>62</v>
      </c>
      <c r="I8" s="3" t="s">
        <v>54</v>
      </c>
      <c r="J8" s="7" t="s">
        <v>82</v>
      </c>
      <c r="K8" s="3" t="s">
        <v>89</v>
      </c>
      <c r="L8" s="3" t="s">
        <v>47</v>
      </c>
      <c r="M8" s="3" t="s">
        <v>1</v>
      </c>
      <c r="N8" s="3" t="s">
        <v>1</v>
      </c>
      <c r="O8" s="3" t="s">
        <v>1</v>
      </c>
    </row>
    <row r="9" spans="1:15" s="3" customFormat="1" x14ac:dyDescent="0.25">
      <c r="A9" s="6" t="s">
        <v>90</v>
      </c>
      <c r="B9" s="6" t="s">
        <v>38</v>
      </c>
      <c r="C9" s="6" t="s">
        <v>65</v>
      </c>
      <c r="D9" s="6" t="s">
        <v>91</v>
      </c>
      <c r="E9" s="6" t="s">
        <v>92</v>
      </c>
      <c r="F9" s="6" t="s">
        <v>93</v>
      </c>
      <c r="G9" s="6" t="s">
        <v>94</v>
      </c>
      <c r="H9" s="6" t="s">
        <v>70</v>
      </c>
      <c r="I9" s="6" t="s">
        <v>54</v>
      </c>
      <c r="J9" s="7" t="s">
        <v>82</v>
      </c>
      <c r="K9" s="6" t="s">
        <v>95</v>
      </c>
      <c r="L9" s="6" t="s">
        <v>47</v>
      </c>
      <c r="M9" s="6" t="s">
        <v>1</v>
      </c>
      <c r="N9" s="6" t="s">
        <v>1</v>
      </c>
      <c r="O9" s="6" t="s">
        <v>1</v>
      </c>
    </row>
    <row r="10" spans="1:15" s="3" customFormat="1" x14ac:dyDescent="0.25">
      <c r="A10" s="3" t="s">
        <v>96</v>
      </c>
      <c r="B10" s="3" t="s">
        <v>97</v>
      </c>
      <c r="C10" s="3" t="s">
        <v>98</v>
      </c>
      <c r="D10" s="3" t="s">
        <v>99</v>
      </c>
      <c r="E10" s="3" t="s">
        <v>100</v>
      </c>
      <c r="F10" s="3" t="s">
        <v>101</v>
      </c>
      <c r="G10" s="3" t="s">
        <v>42</v>
      </c>
      <c r="H10" s="3" t="s">
        <v>102</v>
      </c>
      <c r="I10" s="3" t="s">
        <v>44</v>
      </c>
      <c r="J10" s="5" t="s">
        <v>45</v>
      </c>
      <c r="K10" s="3" t="s">
        <v>103</v>
      </c>
      <c r="L10" s="3" t="s">
        <v>47</v>
      </c>
      <c r="M10" s="3" t="s">
        <v>1</v>
      </c>
      <c r="N10" s="3" t="s">
        <v>1</v>
      </c>
      <c r="O10" s="3" t="s">
        <v>1</v>
      </c>
    </row>
    <row r="11" spans="1:15" s="3" customFormat="1" x14ac:dyDescent="0.25">
      <c r="A11" s="6" t="s">
        <v>104</v>
      </c>
      <c r="B11" s="6" t="s">
        <v>97</v>
      </c>
      <c r="C11" s="6" t="s">
        <v>105</v>
      </c>
      <c r="D11" s="6" t="s">
        <v>106</v>
      </c>
      <c r="E11" s="6" t="s">
        <v>107</v>
      </c>
      <c r="F11" s="6" t="s">
        <v>108</v>
      </c>
      <c r="G11" s="6" t="s">
        <v>42</v>
      </c>
      <c r="H11" s="6" t="s">
        <v>102</v>
      </c>
      <c r="I11" s="6" t="s">
        <v>54</v>
      </c>
      <c r="J11" s="5" t="s">
        <v>109</v>
      </c>
      <c r="K11" s="6" t="s">
        <v>110</v>
      </c>
      <c r="L11" s="6" t="s">
        <v>47</v>
      </c>
      <c r="M11" s="6" t="s">
        <v>1</v>
      </c>
      <c r="N11" s="6" t="s">
        <v>1</v>
      </c>
      <c r="O11" s="6" t="s">
        <v>1</v>
      </c>
    </row>
    <row r="12" spans="1:15" s="3" customFormat="1" x14ac:dyDescent="0.25">
      <c r="A12" s="3" t="s">
        <v>111</v>
      </c>
      <c r="B12" s="3" t="s">
        <v>97</v>
      </c>
      <c r="C12" s="3" t="s">
        <v>112</v>
      </c>
      <c r="D12" s="3" t="s">
        <v>113</v>
      </c>
      <c r="E12" s="3" t="s">
        <v>114</v>
      </c>
      <c r="F12" s="3" t="s">
        <v>115</v>
      </c>
      <c r="G12" s="3" t="s">
        <v>69</v>
      </c>
      <c r="H12" s="3" t="s">
        <v>102</v>
      </c>
      <c r="I12" s="3" t="s">
        <v>44</v>
      </c>
      <c r="J12" s="8" t="s">
        <v>116</v>
      </c>
      <c r="K12" s="3" t="s">
        <v>117</v>
      </c>
      <c r="L12" s="3" t="s">
        <v>47</v>
      </c>
      <c r="M12" s="3" t="s">
        <v>1</v>
      </c>
      <c r="N12" s="3" t="s">
        <v>1</v>
      </c>
      <c r="O12" s="3" t="s">
        <v>1</v>
      </c>
    </row>
    <row r="13" spans="1:15" s="3" customFormat="1" x14ac:dyDescent="0.25">
      <c r="A13" s="6" t="s">
        <v>118</v>
      </c>
      <c r="B13" s="6" t="s">
        <v>97</v>
      </c>
      <c r="C13" s="6" t="s">
        <v>119</v>
      </c>
      <c r="D13" s="6" t="s">
        <v>120</v>
      </c>
      <c r="E13" s="6" t="s">
        <v>121</v>
      </c>
      <c r="F13" s="6" t="s">
        <v>122</v>
      </c>
      <c r="G13" s="6" t="s">
        <v>52</v>
      </c>
      <c r="H13" s="6" t="s">
        <v>123</v>
      </c>
      <c r="I13" s="6" t="s">
        <v>54</v>
      </c>
      <c r="J13" s="5" t="s">
        <v>45</v>
      </c>
      <c r="K13" s="6" t="s">
        <v>124</v>
      </c>
      <c r="L13" s="6" t="s">
        <v>47</v>
      </c>
      <c r="M13" s="6" t="s">
        <v>1</v>
      </c>
      <c r="N13" s="6" t="s">
        <v>1</v>
      </c>
      <c r="O13" s="6" t="s">
        <v>1</v>
      </c>
    </row>
    <row r="14" spans="1:15" s="3" customFormat="1" x14ac:dyDescent="0.25">
      <c r="A14" s="3" t="s">
        <v>125</v>
      </c>
      <c r="B14" s="3" t="s">
        <v>97</v>
      </c>
      <c r="C14" s="3" t="s">
        <v>126</v>
      </c>
      <c r="D14" s="3" t="s">
        <v>127</v>
      </c>
      <c r="E14" s="3" t="s">
        <v>128</v>
      </c>
      <c r="F14" s="3" t="s">
        <v>129</v>
      </c>
      <c r="G14" s="3" t="s">
        <v>69</v>
      </c>
      <c r="H14" s="3" t="s">
        <v>70</v>
      </c>
      <c r="I14" s="3" t="s">
        <v>54</v>
      </c>
      <c r="J14" s="7" t="s">
        <v>82</v>
      </c>
      <c r="K14" s="3" t="s">
        <v>130</v>
      </c>
      <c r="L14" s="3" t="s">
        <v>47</v>
      </c>
      <c r="M14" s="3" t="s">
        <v>1</v>
      </c>
      <c r="N14" s="3" t="s">
        <v>1</v>
      </c>
      <c r="O14" s="3" t="s">
        <v>1</v>
      </c>
    </row>
    <row r="15" spans="1:15" s="3" customFormat="1" x14ac:dyDescent="0.25">
      <c r="A15" s="6" t="s">
        <v>131</v>
      </c>
      <c r="B15" s="6" t="s">
        <v>132</v>
      </c>
      <c r="C15" s="6" t="s">
        <v>133</v>
      </c>
      <c r="D15" s="6" t="s">
        <v>134</v>
      </c>
      <c r="E15" s="6" t="s">
        <v>135</v>
      </c>
      <c r="F15" s="6" t="s">
        <v>136</v>
      </c>
      <c r="G15" s="6" t="s">
        <v>52</v>
      </c>
      <c r="H15" s="6" t="s">
        <v>70</v>
      </c>
      <c r="I15" s="6" t="s">
        <v>44</v>
      </c>
      <c r="J15" s="5" t="s">
        <v>45</v>
      </c>
      <c r="K15" s="6" t="s">
        <v>76</v>
      </c>
      <c r="L15" s="6" t="s">
        <v>47</v>
      </c>
      <c r="M15" s="6" t="s">
        <v>1</v>
      </c>
      <c r="N15" s="6" t="s">
        <v>1</v>
      </c>
      <c r="O15" s="6" t="s">
        <v>1</v>
      </c>
    </row>
    <row r="16" spans="1:15" s="3" customFormat="1" x14ac:dyDescent="0.25">
      <c r="A16" s="3" t="s">
        <v>137</v>
      </c>
      <c r="B16" s="3" t="s">
        <v>132</v>
      </c>
      <c r="C16" s="3" t="s">
        <v>138</v>
      </c>
      <c r="D16" s="3" t="s">
        <v>139</v>
      </c>
      <c r="E16" s="3" t="s">
        <v>140</v>
      </c>
      <c r="F16" s="3" t="s">
        <v>141</v>
      </c>
      <c r="G16" s="3" t="s">
        <v>52</v>
      </c>
      <c r="H16" s="3" t="s">
        <v>142</v>
      </c>
      <c r="I16" s="3" t="s">
        <v>44</v>
      </c>
      <c r="J16" s="5" t="s">
        <v>45</v>
      </c>
      <c r="K16" s="3" t="s">
        <v>76</v>
      </c>
      <c r="L16" s="3" t="s">
        <v>47</v>
      </c>
      <c r="M16" s="3" t="s">
        <v>1</v>
      </c>
      <c r="N16" s="3" t="s">
        <v>1</v>
      </c>
      <c r="O16" s="3" t="s">
        <v>1</v>
      </c>
    </row>
    <row r="17" spans="1:15" s="3" customFormat="1" x14ac:dyDescent="0.25">
      <c r="A17" s="6" t="s">
        <v>143</v>
      </c>
      <c r="B17" s="6" t="s">
        <v>132</v>
      </c>
      <c r="C17" s="6" t="s">
        <v>144</v>
      </c>
      <c r="D17" s="6" t="s">
        <v>145</v>
      </c>
      <c r="E17" s="6" t="s">
        <v>146</v>
      </c>
      <c r="F17" s="6" t="s">
        <v>147</v>
      </c>
      <c r="G17" s="6" t="s">
        <v>52</v>
      </c>
      <c r="H17" s="6" t="s">
        <v>142</v>
      </c>
      <c r="I17" s="6" t="s">
        <v>44</v>
      </c>
      <c r="J17" s="5" t="s">
        <v>45</v>
      </c>
      <c r="K17" s="6" t="s">
        <v>76</v>
      </c>
      <c r="L17" s="6" t="s">
        <v>47</v>
      </c>
      <c r="M17" s="6" t="s">
        <v>1</v>
      </c>
      <c r="N17" s="6" t="s">
        <v>1</v>
      </c>
      <c r="O17" s="6" t="s">
        <v>1</v>
      </c>
    </row>
    <row r="18" spans="1:15" s="3" customFormat="1" x14ac:dyDescent="0.25">
      <c r="A18" s="3" t="s">
        <v>148</v>
      </c>
      <c r="B18" s="3" t="s">
        <v>132</v>
      </c>
      <c r="C18" s="3" t="s">
        <v>144</v>
      </c>
      <c r="D18" s="3" t="s">
        <v>149</v>
      </c>
      <c r="E18" s="3" t="s">
        <v>150</v>
      </c>
      <c r="F18" s="3" t="s">
        <v>151</v>
      </c>
      <c r="G18" s="3" t="s">
        <v>52</v>
      </c>
      <c r="H18" s="3" t="s">
        <v>142</v>
      </c>
      <c r="I18" s="3" t="s">
        <v>54</v>
      </c>
      <c r="J18" s="5" t="s">
        <v>45</v>
      </c>
      <c r="K18" s="3" t="s">
        <v>76</v>
      </c>
      <c r="L18" s="3" t="s">
        <v>47</v>
      </c>
      <c r="M18" s="3" t="s">
        <v>1</v>
      </c>
      <c r="N18" s="3" t="s">
        <v>1</v>
      </c>
      <c r="O18" s="3" t="s">
        <v>1</v>
      </c>
    </row>
    <row r="19" spans="1:15" s="3" customFormat="1" x14ac:dyDescent="0.25">
      <c r="A19" s="6" t="s">
        <v>152</v>
      </c>
      <c r="B19" s="6" t="s">
        <v>132</v>
      </c>
      <c r="C19" s="6" t="s">
        <v>153</v>
      </c>
      <c r="D19" s="6" t="s">
        <v>154</v>
      </c>
      <c r="E19" s="6" t="s">
        <v>155</v>
      </c>
      <c r="F19" s="6" t="s">
        <v>156</v>
      </c>
      <c r="G19" s="6" t="s">
        <v>52</v>
      </c>
      <c r="H19" s="6" t="s">
        <v>142</v>
      </c>
      <c r="I19" s="6" t="s">
        <v>54</v>
      </c>
      <c r="J19" s="5" t="s">
        <v>45</v>
      </c>
      <c r="K19" s="6" t="s">
        <v>157</v>
      </c>
      <c r="L19" s="6" t="s">
        <v>47</v>
      </c>
      <c r="M19" s="6" t="s">
        <v>1</v>
      </c>
      <c r="N19" s="6" t="s">
        <v>1</v>
      </c>
      <c r="O19" s="6" t="s">
        <v>1</v>
      </c>
    </row>
    <row r="20" spans="1:15" s="3" customFormat="1" x14ac:dyDescent="0.25">
      <c r="A20" s="3" t="s">
        <v>158</v>
      </c>
      <c r="B20" s="3" t="s">
        <v>159</v>
      </c>
      <c r="C20" s="3" t="s">
        <v>160</v>
      </c>
      <c r="D20" s="3" t="s">
        <v>161</v>
      </c>
      <c r="E20" s="3" t="s">
        <v>162</v>
      </c>
      <c r="F20" s="3" t="s">
        <v>163</v>
      </c>
      <c r="G20" s="3" t="s">
        <v>52</v>
      </c>
      <c r="H20" s="3" t="s">
        <v>164</v>
      </c>
      <c r="I20" s="3" t="s">
        <v>44</v>
      </c>
      <c r="J20" s="5" t="s">
        <v>45</v>
      </c>
      <c r="K20" s="3" t="s">
        <v>165</v>
      </c>
      <c r="L20" s="3" t="s">
        <v>47</v>
      </c>
      <c r="M20" s="3" t="s">
        <v>1</v>
      </c>
      <c r="N20" s="3" t="s">
        <v>1</v>
      </c>
      <c r="O20" s="3" t="s">
        <v>1</v>
      </c>
    </row>
    <row r="21" spans="1:15" s="3" customFormat="1" x14ac:dyDescent="0.25">
      <c r="A21" s="6" t="s">
        <v>166</v>
      </c>
      <c r="B21" s="6" t="s">
        <v>159</v>
      </c>
      <c r="C21" s="6" t="s">
        <v>167</v>
      </c>
      <c r="D21" s="6" t="s">
        <v>168</v>
      </c>
      <c r="E21" s="6" t="s">
        <v>169</v>
      </c>
      <c r="F21" s="6" t="s">
        <v>170</v>
      </c>
      <c r="G21" s="6" t="s">
        <v>61</v>
      </c>
      <c r="H21" s="6" t="s">
        <v>171</v>
      </c>
      <c r="I21" s="6" t="s">
        <v>44</v>
      </c>
      <c r="J21" s="9" t="s">
        <v>172</v>
      </c>
      <c r="K21" s="6" t="s">
        <v>173</v>
      </c>
      <c r="L21" s="6" t="s">
        <v>47</v>
      </c>
      <c r="M21" s="6" t="s">
        <v>1</v>
      </c>
      <c r="N21" s="6" t="s">
        <v>1</v>
      </c>
      <c r="O21" s="6" t="s">
        <v>1</v>
      </c>
    </row>
    <row r="22" spans="1:15" s="3" customFormat="1" x14ac:dyDescent="0.25">
      <c r="A22" s="3" t="s">
        <v>174</v>
      </c>
      <c r="B22" s="3" t="s">
        <v>159</v>
      </c>
      <c r="C22" s="3" t="s">
        <v>175</v>
      </c>
      <c r="D22" s="3" t="s">
        <v>176</v>
      </c>
      <c r="E22" s="3" t="s">
        <v>177</v>
      </c>
      <c r="F22" s="3" t="s">
        <v>178</v>
      </c>
      <c r="G22" s="3" t="s">
        <v>52</v>
      </c>
      <c r="H22" s="3" t="s">
        <v>179</v>
      </c>
      <c r="I22" s="3" t="s">
        <v>44</v>
      </c>
      <c r="J22" s="9" t="s">
        <v>172</v>
      </c>
      <c r="K22" s="3" t="s">
        <v>180</v>
      </c>
      <c r="L22" s="3" t="s">
        <v>47</v>
      </c>
      <c r="M22" s="3" t="s">
        <v>1</v>
      </c>
      <c r="N22" s="3" t="s">
        <v>1</v>
      </c>
      <c r="O22" s="3" t="s">
        <v>1</v>
      </c>
    </row>
    <row r="23" spans="1:15" s="3" customFormat="1" x14ac:dyDescent="0.25">
      <c r="A23" s="6" t="s">
        <v>181</v>
      </c>
      <c r="B23" s="6" t="s">
        <v>159</v>
      </c>
      <c r="C23" s="6" t="s">
        <v>175</v>
      </c>
      <c r="D23" s="6" t="s">
        <v>182</v>
      </c>
      <c r="E23" s="6" t="s">
        <v>183</v>
      </c>
      <c r="F23" s="6" t="s">
        <v>184</v>
      </c>
      <c r="G23" s="6" t="s">
        <v>52</v>
      </c>
      <c r="H23" s="6" t="s">
        <v>179</v>
      </c>
      <c r="I23" s="6" t="s">
        <v>54</v>
      </c>
      <c r="J23" s="9" t="s">
        <v>172</v>
      </c>
      <c r="K23" s="6" t="s">
        <v>185</v>
      </c>
      <c r="L23" s="6" t="s">
        <v>47</v>
      </c>
      <c r="M23" s="6" t="s">
        <v>1</v>
      </c>
      <c r="N23" s="6" t="s">
        <v>1</v>
      </c>
      <c r="O23" s="6" t="s">
        <v>1</v>
      </c>
    </row>
    <row r="24" spans="1:15" s="3" customFormat="1" x14ac:dyDescent="0.25">
      <c r="A24" s="3" t="s">
        <v>186</v>
      </c>
      <c r="B24" s="3" t="s">
        <v>187</v>
      </c>
      <c r="C24" s="3" t="s">
        <v>188</v>
      </c>
      <c r="D24" s="3" t="s">
        <v>189</v>
      </c>
      <c r="E24" s="3" t="s">
        <v>190</v>
      </c>
      <c r="F24" s="3" t="s">
        <v>191</v>
      </c>
      <c r="G24" s="3" t="s">
        <v>192</v>
      </c>
      <c r="H24" s="3" t="s">
        <v>193</v>
      </c>
      <c r="I24" s="3" t="s">
        <v>44</v>
      </c>
      <c r="J24" s="5" t="s">
        <v>45</v>
      </c>
      <c r="K24" s="3" t="s">
        <v>194</v>
      </c>
      <c r="L24" s="3" t="s">
        <v>47</v>
      </c>
      <c r="M24" s="3" t="s">
        <v>1</v>
      </c>
      <c r="N24" s="3" t="s">
        <v>1</v>
      </c>
      <c r="O24" s="3" t="s">
        <v>1</v>
      </c>
    </row>
    <row r="25" spans="1:15" s="3" customFormat="1" x14ac:dyDescent="0.25">
      <c r="A25" s="6" t="s">
        <v>195</v>
      </c>
      <c r="B25" s="6" t="s">
        <v>187</v>
      </c>
      <c r="C25" s="6" t="s">
        <v>196</v>
      </c>
      <c r="D25" s="6" t="s">
        <v>197</v>
      </c>
      <c r="E25" s="6" t="s">
        <v>198</v>
      </c>
      <c r="F25" s="6" t="s">
        <v>199</v>
      </c>
      <c r="G25" s="6" t="s">
        <v>192</v>
      </c>
      <c r="H25" s="6" t="s">
        <v>193</v>
      </c>
      <c r="I25" s="6" t="s">
        <v>44</v>
      </c>
      <c r="J25" s="5" t="s">
        <v>45</v>
      </c>
      <c r="K25" s="6" t="s">
        <v>200</v>
      </c>
      <c r="L25" s="6" t="s">
        <v>47</v>
      </c>
      <c r="M25" s="6" t="s">
        <v>1</v>
      </c>
      <c r="N25" s="6" t="s">
        <v>1</v>
      </c>
      <c r="O25" s="6" t="s">
        <v>1</v>
      </c>
    </row>
    <row r="26" spans="1:15" s="3" customFormat="1" x14ac:dyDescent="0.25">
      <c r="A26" s="3" t="s">
        <v>201</v>
      </c>
      <c r="B26" s="3" t="s">
        <v>187</v>
      </c>
      <c r="C26" s="3" t="s">
        <v>202</v>
      </c>
      <c r="D26" s="3" t="s">
        <v>203</v>
      </c>
      <c r="E26" s="3" t="s">
        <v>204</v>
      </c>
      <c r="F26" s="3" t="s">
        <v>205</v>
      </c>
      <c r="G26" s="3" t="s">
        <v>192</v>
      </c>
      <c r="H26" s="3" t="s">
        <v>193</v>
      </c>
      <c r="I26" s="3" t="s">
        <v>44</v>
      </c>
      <c r="J26" s="5" t="s">
        <v>45</v>
      </c>
      <c r="K26" s="3" t="s">
        <v>206</v>
      </c>
      <c r="L26" s="3" t="s">
        <v>47</v>
      </c>
      <c r="M26" s="3" t="s">
        <v>1</v>
      </c>
      <c r="N26" s="3" t="s">
        <v>1</v>
      </c>
      <c r="O26" s="3" t="s">
        <v>1</v>
      </c>
    </row>
    <row r="27" spans="1:15" s="3" customFormat="1" x14ac:dyDescent="0.25">
      <c r="A27" s="6" t="s">
        <v>207</v>
      </c>
      <c r="B27" s="6" t="s">
        <v>187</v>
      </c>
      <c r="C27" s="6" t="s">
        <v>208</v>
      </c>
      <c r="D27" s="6" t="s">
        <v>209</v>
      </c>
      <c r="E27" s="6" t="s">
        <v>210</v>
      </c>
      <c r="F27" s="6" t="s">
        <v>211</v>
      </c>
      <c r="G27" s="6" t="s">
        <v>192</v>
      </c>
      <c r="H27" s="6" t="s">
        <v>193</v>
      </c>
      <c r="I27" s="6" t="s">
        <v>54</v>
      </c>
      <c r="J27" s="9" t="s">
        <v>172</v>
      </c>
      <c r="K27" s="6" t="s">
        <v>212</v>
      </c>
      <c r="L27" s="6" t="s">
        <v>47</v>
      </c>
      <c r="M27" s="6" t="s">
        <v>1</v>
      </c>
      <c r="N27" s="6" t="s">
        <v>1</v>
      </c>
      <c r="O27" s="6" t="s">
        <v>1</v>
      </c>
    </row>
    <row r="28" spans="1:15" s="3" customFormat="1" x14ac:dyDescent="0.25">
      <c r="A28" s="3" t="s">
        <v>213</v>
      </c>
      <c r="B28" s="3" t="s">
        <v>214</v>
      </c>
      <c r="C28" s="3" t="s">
        <v>215</v>
      </c>
      <c r="D28" s="3" t="s">
        <v>216</v>
      </c>
      <c r="E28" s="3" t="s">
        <v>217</v>
      </c>
      <c r="F28" s="3" t="s">
        <v>218</v>
      </c>
      <c r="G28" s="3" t="s">
        <v>192</v>
      </c>
      <c r="H28" s="3" t="s">
        <v>219</v>
      </c>
      <c r="I28" s="3" t="s">
        <v>44</v>
      </c>
      <c r="J28" s="9" t="s">
        <v>172</v>
      </c>
      <c r="K28" s="3" t="s">
        <v>220</v>
      </c>
      <c r="L28" s="3" t="s">
        <v>47</v>
      </c>
      <c r="M28" s="3" t="s">
        <v>1</v>
      </c>
      <c r="N28" s="3" t="s">
        <v>1</v>
      </c>
      <c r="O28" s="3" t="s">
        <v>1</v>
      </c>
    </row>
    <row r="29" spans="1:15" s="3" customFormat="1" x14ac:dyDescent="0.25">
      <c r="A29" s="6" t="s">
        <v>221</v>
      </c>
      <c r="B29" s="6" t="s">
        <v>214</v>
      </c>
      <c r="C29" s="6" t="s">
        <v>222</v>
      </c>
      <c r="D29" s="6" t="s">
        <v>223</v>
      </c>
      <c r="E29" s="6" t="s">
        <v>224</v>
      </c>
      <c r="F29" s="6" t="s">
        <v>225</v>
      </c>
      <c r="G29" s="6" t="s">
        <v>192</v>
      </c>
      <c r="H29" s="6" t="s">
        <v>226</v>
      </c>
      <c r="I29" s="6" t="s">
        <v>44</v>
      </c>
      <c r="J29" s="8" t="s">
        <v>116</v>
      </c>
      <c r="K29" s="6" t="s">
        <v>227</v>
      </c>
      <c r="L29" s="6" t="s">
        <v>47</v>
      </c>
      <c r="M29" s="6" t="s">
        <v>1</v>
      </c>
      <c r="N29" s="6" t="s">
        <v>1</v>
      </c>
      <c r="O29" s="6" t="s">
        <v>1</v>
      </c>
    </row>
    <row r="30" spans="1:15" s="3" customFormat="1" x14ac:dyDescent="0.25">
      <c r="A30" s="3" t="s">
        <v>228</v>
      </c>
      <c r="B30" s="3" t="s">
        <v>214</v>
      </c>
      <c r="C30" s="3" t="s">
        <v>222</v>
      </c>
      <c r="D30" s="3" t="s">
        <v>229</v>
      </c>
      <c r="E30" s="3" t="s">
        <v>230</v>
      </c>
      <c r="F30" s="3" t="s">
        <v>231</v>
      </c>
      <c r="G30" s="3" t="s">
        <v>192</v>
      </c>
      <c r="H30" s="3" t="s">
        <v>226</v>
      </c>
      <c r="I30" s="3" t="s">
        <v>44</v>
      </c>
      <c r="J30" s="5" t="s">
        <v>109</v>
      </c>
      <c r="K30" s="3" t="s">
        <v>232</v>
      </c>
      <c r="L30" s="3" t="s">
        <v>47</v>
      </c>
      <c r="M30" s="3" t="s">
        <v>1</v>
      </c>
      <c r="N30" s="3" t="s">
        <v>1</v>
      </c>
      <c r="O30" s="3" t="s">
        <v>1</v>
      </c>
    </row>
    <row r="31" spans="1:15" s="3" customFormat="1" x14ac:dyDescent="0.25">
      <c r="A31" s="6" t="s">
        <v>233</v>
      </c>
      <c r="B31" s="6" t="s">
        <v>234</v>
      </c>
      <c r="C31" s="6" t="s">
        <v>235</v>
      </c>
      <c r="D31" s="6" t="s">
        <v>236</v>
      </c>
      <c r="E31" s="6" t="s">
        <v>237</v>
      </c>
      <c r="F31" s="6" t="s">
        <v>238</v>
      </c>
      <c r="G31" s="6" t="s">
        <v>61</v>
      </c>
      <c r="H31" s="6" t="s">
        <v>239</v>
      </c>
      <c r="I31" s="6" t="s">
        <v>44</v>
      </c>
      <c r="J31" s="8" t="s">
        <v>116</v>
      </c>
      <c r="K31" s="6" t="s">
        <v>240</v>
      </c>
      <c r="L31" s="6" t="s">
        <v>47</v>
      </c>
      <c r="M31" s="6" t="s">
        <v>1</v>
      </c>
      <c r="N31" s="6" t="s">
        <v>1</v>
      </c>
      <c r="O31" s="6" t="s">
        <v>1</v>
      </c>
    </row>
    <row r="32" spans="1:15" s="3" customFormat="1" x14ac:dyDescent="0.25">
      <c r="A32" s="3" t="s">
        <v>241</v>
      </c>
      <c r="B32" s="3" t="s">
        <v>234</v>
      </c>
      <c r="C32" s="3" t="s">
        <v>242</v>
      </c>
      <c r="D32" s="3" t="s">
        <v>243</v>
      </c>
      <c r="E32" s="3" t="s">
        <v>244</v>
      </c>
      <c r="F32" s="3" t="s">
        <v>245</v>
      </c>
      <c r="G32" s="3" t="s">
        <v>61</v>
      </c>
      <c r="H32" s="3" t="s">
        <v>239</v>
      </c>
      <c r="I32" s="3" t="s">
        <v>54</v>
      </c>
      <c r="J32" s="7" t="s">
        <v>82</v>
      </c>
      <c r="K32" s="3" t="s">
        <v>246</v>
      </c>
      <c r="L32" s="3" t="s">
        <v>47</v>
      </c>
      <c r="M32" s="3" t="s">
        <v>1</v>
      </c>
      <c r="N32" s="3" t="s">
        <v>1</v>
      </c>
      <c r="O32" s="3" t="s">
        <v>1</v>
      </c>
    </row>
    <row r="33" spans="1:15" s="3" customFormat="1" x14ac:dyDescent="0.25">
      <c r="A33" s="6" t="s">
        <v>247</v>
      </c>
      <c r="B33" s="6" t="s">
        <v>234</v>
      </c>
      <c r="C33" s="6" t="s">
        <v>248</v>
      </c>
      <c r="D33" s="6" t="s">
        <v>249</v>
      </c>
      <c r="E33" s="6" t="s">
        <v>250</v>
      </c>
      <c r="F33" s="6" t="s">
        <v>251</v>
      </c>
      <c r="G33" s="6" t="s">
        <v>192</v>
      </c>
      <c r="H33" s="6" t="s">
        <v>219</v>
      </c>
      <c r="I33" s="6" t="s">
        <v>44</v>
      </c>
      <c r="J33" s="9" t="s">
        <v>172</v>
      </c>
      <c r="K33" s="6" t="s">
        <v>252</v>
      </c>
      <c r="L33" s="6" t="s">
        <v>47</v>
      </c>
      <c r="M33" s="6" t="s">
        <v>1</v>
      </c>
      <c r="N33" s="6" t="s">
        <v>1</v>
      </c>
      <c r="O33" s="6" t="s">
        <v>1</v>
      </c>
    </row>
    <row r="34" spans="1:15" s="3" customFormat="1" x14ac:dyDescent="0.25">
      <c r="A34" s="3" t="s">
        <v>253</v>
      </c>
      <c r="B34" s="3" t="s">
        <v>234</v>
      </c>
      <c r="C34" s="3" t="s">
        <v>254</v>
      </c>
      <c r="D34" s="3" t="s">
        <v>255</v>
      </c>
      <c r="E34" s="3" t="s">
        <v>256</v>
      </c>
      <c r="F34" s="3" t="s">
        <v>257</v>
      </c>
      <c r="G34" s="3" t="s">
        <v>61</v>
      </c>
      <c r="H34" s="3" t="s">
        <v>258</v>
      </c>
      <c r="I34" s="3" t="s">
        <v>54</v>
      </c>
      <c r="J34" s="8" t="s">
        <v>116</v>
      </c>
      <c r="K34" s="3" t="s">
        <v>259</v>
      </c>
      <c r="L34" s="3" t="s">
        <v>47</v>
      </c>
      <c r="M34" s="3" t="s">
        <v>1</v>
      </c>
      <c r="N34" s="3" t="s">
        <v>1</v>
      </c>
      <c r="O34" s="3" t="s">
        <v>1</v>
      </c>
    </row>
    <row r="35" spans="1:15" s="3" customFormat="1" x14ac:dyDescent="0.25">
      <c r="A35" s="6" t="s">
        <v>260</v>
      </c>
      <c r="B35" s="6" t="s">
        <v>261</v>
      </c>
      <c r="C35" s="6" t="s">
        <v>262</v>
      </c>
      <c r="D35" s="6" t="s">
        <v>263</v>
      </c>
      <c r="E35" s="6" t="s">
        <v>264</v>
      </c>
      <c r="F35" s="6" t="s">
        <v>265</v>
      </c>
      <c r="G35" s="6" t="s">
        <v>266</v>
      </c>
      <c r="H35" s="6" t="s">
        <v>142</v>
      </c>
      <c r="I35" s="6" t="s">
        <v>44</v>
      </c>
      <c r="J35" s="7" t="s">
        <v>82</v>
      </c>
      <c r="K35" s="6" t="s">
        <v>267</v>
      </c>
      <c r="L35" s="6" t="s">
        <v>47</v>
      </c>
      <c r="M35" s="6" t="s">
        <v>1</v>
      </c>
      <c r="N35" s="6" t="s">
        <v>1</v>
      </c>
      <c r="O35" s="6" t="s">
        <v>1</v>
      </c>
    </row>
    <row r="36" spans="1:15" s="3" customFormat="1" x14ac:dyDescent="0.25">
      <c r="A36" s="3" t="s">
        <v>268</v>
      </c>
      <c r="B36" s="3" t="s">
        <v>261</v>
      </c>
      <c r="C36" s="3" t="s">
        <v>269</v>
      </c>
      <c r="D36" s="3" t="s">
        <v>270</v>
      </c>
      <c r="E36" s="3" t="s">
        <v>271</v>
      </c>
      <c r="F36" s="3" t="s">
        <v>272</v>
      </c>
      <c r="G36" s="3" t="s">
        <v>266</v>
      </c>
      <c r="H36" s="3" t="s">
        <v>142</v>
      </c>
      <c r="I36" s="3" t="s">
        <v>54</v>
      </c>
      <c r="J36" s="7" t="s">
        <v>82</v>
      </c>
      <c r="K36" s="3" t="s">
        <v>273</v>
      </c>
      <c r="L36" s="3" t="s">
        <v>47</v>
      </c>
      <c r="M36" s="3" t="s">
        <v>1</v>
      </c>
      <c r="N36" s="3" t="s">
        <v>1</v>
      </c>
      <c r="O36" s="3" t="s">
        <v>1</v>
      </c>
    </row>
    <row r="37" spans="1:15" s="3" customFormat="1" x14ac:dyDescent="0.25">
      <c r="A37" s="6" t="s">
        <v>274</v>
      </c>
      <c r="B37" s="6" t="s">
        <v>261</v>
      </c>
      <c r="C37" s="6" t="s">
        <v>275</v>
      </c>
      <c r="D37" s="6" t="s">
        <v>276</v>
      </c>
      <c r="E37" s="6" t="s">
        <v>277</v>
      </c>
      <c r="F37" s="6" t="s">
        <v>278</v>
      </c>
      <c r="G37" s="6" t="s">
        <v>266</v>
      </c>
      <c r="H37" s="6" t="s">
        <v>142</v>
      </c>
      <c r="I37" s="6" t="s">
        <v>44</v>
      </c>
      <c r="J37" s="9" t="s">
        <v>172</v>
      </c>
      <c r="K37" s="6" t="s">
        <v>279</v>
      </c>
      <c r="L37" s="6" t="s">
        <v>47</v>
      </c>
      <c r="M37" s="6" t="s">
        <v>1</v>
      </c>
      <c r="N37" s="6" t="s">
        <v>1</v>
      </c>
      <c r="O37" s="6" t="s">
        <v>1</v>
      </c>
    </row>
    <row r="38" spans="1:15" s="3" customFormat="1" x14ac:dyDescent="0.25">
      <c r="A38" s="3" t="s">
        <v>280</v>
      </c>
      <c r="B38" s="3" t="s">
        <v>261</v>
      </c>
      <c r="C38" s="3" t="s">
        <v>281</v>
      </c>
      <c r="D38" s="3" t="s">
        <v>282</v>
      </c>
      <c r="E38" s="3" t="s">
        <v>283</v>
      </c>
      <c r="F38" s="3" t="s">
        <v>284</v>
      </c>
      <c r="G38" s="3" t="s">
        <v>266</v>
      </c>
      <c r="H38" s="3" t="s">
        <v>142</v>
      </c>
      <c r="I38" s="3" t="s">
        <v>44</v>
      </c>
      <c r="J38" s="5" t="s">
        <v>45</v>
      </c>
      <c r="K38" s="3" t="s">
        <v>285</v>
      </c>
      <c r="L38" s="3" t="s">
        <v>47</v>
      </c>
      <c r="M38" s="3" t="s">
        <v>1</v>
      </c>
      <c r="N38" s="3" t="s">
        <v>1</v>
      </c>
      <c r="O38" s="3" t="s">
        <v>1</v>
      </c>
    </row>
    <row r="39" spans="1:15" s="3" customFormat="1" x14ac:dyDescent="0.25">
      <c r="A39" s="6" t="s">
        <v>286</v>
      </c>
      <c r="B39" s="6" t="s">
        <v>261</v>
      </c>
      <c r="C39" s="6" t="s">
        <v>287</v>
      </c>
      <c r="D39" s="6" t="s">
        <v>288</v>
      </c>
      <c r="E39" s="6" t="s">
        <v>289</v>
      </c>
      <c r="F39" s="6" t="s">
        <v>290</v>
      </c>
      <c r="G39" s="6" t="s">
        <v>61</v>
      </c>
      <c r="H39" s="6" t="s">
        <v>291</v>
      </c>
      <c r="I39" s="6" t="s">
        <v>44</v>
      </c>
      <c r="J39" s="5" t="s">
        <v>45</v>
      </c>
      <c r="K39" s="6" t="s">
        <v>292</v>
      </c>
      <c r="L39" s="6" t="s">
        <v>47</v>
      </c>
      <c r="M39" s="6" t="s">
        <v>1</v>
      </c>
      <c r="N39" s="6" t="s">
        <v>1</v>
      </c>
      <c r="O39" s="6" t="s">
        <v>1</v>
      </c>
    </row>
    <row r="40" spans="1:15" s="3" customFormat="1" x14ac:dyDescent="0.25">
      <c r="A40" s="3" t="s">
        <v>293</v>
      </c>
      <c r="B40" s="3" t="s">
        <v>261</v>
      </c>
      <c r="C40" s="3" t="s">
        <v>294</v>
      </c>
      <c r="D40" s="3" t="s">
        <v>295</v>
      </c>
      <c r="E40" s="3" t="s">
        <v>296</v>
      </c>
      <c r="F40" s="3" t="s">
        <v>297</v>
      </c>
      <c r="G40" s="3" t="s">
        <v>61</v>
      </c>
      <c r="H40" s="3" t="s">
        <v>291</v>
      </c>
      <c r="I40" s="3" t="s">
        <v>44</v>
      </c>
      <c r="J40" s="5" t="s">
        <v>45</v>
      </c>
      <c r="K40" s="3" t="s">
        <v>298</v>
      </c>
      <c r="L40" s="3" t="s">
        <v>47</v>
      </c>
      <c r="M40" s="3" t="s">
        <v>1</v>
      </c>
      <c r="N40" s="3" t="s">
        <v>1</v>
      </c>
      <c r="O40" s="3" t="s">
        <v>1</v>
      </c>
    </row>
    <row r="41" spans="1:15" s="3" customFormat="1" x14ac:dyDescent="0.25">
      <c r="A41" s="6" t="s">
        <v>299</v>
      </c>
      <c r="B41" s="6" t="s">
        <v>261</v>
      </c>
      <c r="C41" s="6" t="s">
        <v>300</v>
      </c>
      <c r="D41" s="6" t="s">
        <v>301</v>
      </c>
      <c r="E41" s="6" t="s">
        <v>302</v>
      </c>
      <c r="F41" s="6" t="s">
        <v>303</v>
      </c>
      <c r="G41" s="6" t="s">
        <v>61</v>
      </c>
      <c r="H41" s="6" t="s">
        <v>291</v>
      </c>
      <c r="I41" s="6" t="s">
        <v>54</v>
      </c>
      <c r="J41" s="5" t="s">
        <v>45</v>
      </c>
      <c r="K41" s="6" t="s">
        <v>304</v>
      </c>
      <c r="L41" s="6" t="s">
        <v>47</v>
      </c>
      <c r="M41" s="6" t="s">
        <v>1</v>
      </c>
      <c r="N41" s="6" t="s">
        <v>1</v>
      </c>
      <c r="O41" s="6" t="s">
        <v>1</v>
      </c>
    </row>
    <row r="42" spans="1:15" s="3" customFormat="1" x14ac:dyDescent="0.25">
      <c r="A42" s="3" t="s">
        <v>305</v>
      </c>
      <c r="B42" s="3" t="s">
        <v>261</v>
      </c>
      <c r="C42" s="3" t="s">
        <v>306</v>
      </c>
      <c r="D42" s="3" t="s">
        <v>307</v>
      </c>
      <c r="E42" s="3" t="s">
        <v>308</v>
      </c>
      <c r="F42" s="3" t="s">
        <v>309</v>
      </c>
      <c r="G42" s="3" t="s">
        <v>61</v>
      </c>
      <c r="H42" s="3" t="s">
        <v>291</v>
      </c>
      <c r="I42" s="3" t="s">
        <v>44</v>
      </c>
      <c r="J42" s="5" t="s">
        <v>45</v>
      </c>
      <c r="K42" s="3" t="s">
        <v>310</v>
      </c>
      <c r="L42" s="3" t="s">
        <v>47</v>
      </c>
      <c r="M42" s="3" t="s">
        <v>1</v>
      </c>
      <c r="N42" s="3" t="s">
        <v>1</v>
      </c>
      <c r="O42" s="3" t="s">
        <v>1</v>
      </c>
    </row>
    <row r="43" spans="1:15" s="3" customFormat="1" x14ac:dyDescent="0.25">
      <c r="A43" s="6" t="s">
        <v>311</v>
      </c>
      <c r="B43" s="6" t="s">
        <v>312</v>
      </c>
      <c r="C43" s="6" t="s">
        <v>313</v>
      </c>
      <c r="D43" s="6" t="s">
        <v>314</v>
      </c>
      <c r="E43" s="6" t="s">
        <v>315</v>
      </c>
      <c r="F43" s="6" t="s">
        <v>316</v>
      </c>
      <c r="G43" s="6" t="s">
        <v>42</v>
      </c>
      <c r="H43" s="6" t="s">
        <v>317</v>
      </c>
      <c r="I43" s="6" t="s">
        <v>54</v>
      </c>
      <c r="J43" s="9" t="s">
        <v>172</v>
      </c>
      <c r="K43" s="6" t="s">
        <v>318</v>
      </c>
      <c r="L43" s="6" t="s">
        <v>47</v>
      </c>
      <c r="M43" s="6" t="s">
        <v>1</v>
      </c>
      <c r="N43" s="6" t="s">
        <v>1</v>
      </c>
      <c r="O43" s="6" t="s">
        <v>1</v>
      </c>
    </row>
    <row r="44" spans="1:15" s="3" customFormat="1" x14ac:dyDescent="0.25">
      <c r="A44" s="3" t="s">
        <v>319</v>
      </c>
      <c r="B44" s="3" t="s">
        <v>312</v>
      </c>
      <c r="C44" s="3" t="s">
        <v>320</v>
      </c>
      <c r="D44" s="3" t="s">
        <v>321</v>
      </c>
      <c r="E44" s="3" t="s">
        <v>322</v>
      </c>
      <c r="F44" s="3" t="s">
        <v>323</v>
      </c>
      <c r="G44" s="3" t="s">
        <v>42</v>
      </c>
      <c r="H44" s="3" t="s">
        <v>317</v>
      </c>
      <c r="I44" s="3" t="s">
        <v>54</v>
      </c>
      <c r="J44" s="9" t="s">
        <v>172</v>
      </c>
      <c r="K44" s="3" t="s">
        <v>324</v>
      </c>
      <c r="L44" s="3" t="s">
        <v>47</v>
      </c>
      <c r="M44" s="3" t="s">
        <v>1</v>
      </c>
      <c r="N44" s="3" t="s">
        <v>1</v>
      </c>
      <c r="O44" s="3" t="s">
        <v>1</v>
      </c>
    </row>
    <row r="45" spans="1:15" s="3" customFormat="1" x14ac:dyDescent="0.25">
      <c r="A45" s="6" t="s">
        <v>325</v>
      </c>
      <c r="B45" s="6" t="s">
        <v>312</v>
      </c>
      <c r="C45" s="6" t="s">
        <v>326</v>
      </c>
      <c r="D45" s="6" t="s">
        <v>327</v>
      </c>
      <c r="E45" s="6" t="s">
        <v>328</v>
      </c>
      <c r="F45" s="6" t="s">
        <v>329</v>
      </c>
      <c r="G45" s="6" t="s">
        <v>42</v>
      </c>
      <c r="H45" s="6" t="s">
        <v>317</v>
      </c>
      <c r="I45" s="6" t="s">
        <v>330</v>
      </c>
      <c r="J45" s="9" t="s">
        <v>172</v>
      </c>
      <c r="K45" s="6" t="s">
        <v>331</v>
      </c>
      <c r="L45" s="6" t="s">
        <v>47</v>
      </c>
      <c r="M45" s="6" t="s">
        <v>1</v>
      </c>
      <c r="N45" s="6" t="s">
        <v>1</v>
      </c>
      <c r="O45" s="6" t="s">
        <v>1</v>
      </c>
    </row>
    <row r="46" spans="1:15" s="3" customFormat="1" x14ac:dyDescent="0.25">
      <c r="A46" s="3" t="s">
        <v>332</v>
      </c>
      <c r="B46" s="3" t="s">
        <v>312</v>
      </c>
      <c r="C46" s="3" t="s">
        <v>333</v>
      </c>
      <c r="D46" s="3" t="s">
        <v>334</v>
      </c>
      <c r="E46" s="3" t="s">
        <v>335</v>
      </c>
      <c r="F46" s="3" t="s">
        <v>336</v>
      </c>
      <c r="G46" s="3" t="s">
        <v>42</v>
      </c>
      <c r="H46" s="3" t="s">
        <v>317</v>
      </c>
      <c r="I46" s="3" t="s">
        <v>330</v>
      </c>
      <c r="J46" s="5" t="s">
        <v>45</v>
      </c>
      <c r="K46" s="3" t="s">
        <v>337</v>
      </c>
      <c r="L46" s="3" t="s">
        <v>47</v>
      </c>
      <c r="M46" s="3" t="s">
        <v>1</v>
      </c>
      <c r="N46" s="3" t="s">
        <v>1</v>
      </c>
      <c r="O46" s="3" t="s">
        <v>1</v>
      </c>
    </row>
  </sheetData>
  <autoFilter ref="A1:O1"/>
  <conditionalFormatting sqref="L2:L46">
    <cfRule type="containsText" dxfId="0" priority="1">
      <formula>NOT(ISERROR(SEARCH("Pass",L2)))</formula>
    </cfRule>
    <cfRule type="containsText" dxfId="1" priority="2">
      <formula>NOT(ISERROR(SEARCH("Fail",L2)))</formula>
    </cfRule>
    <cfRule type="containsText" dxfId="2" priority="3">
      <formula>NOT(ISERROR(SEARCH("Blocked",L2)))</formula>
    </cfRule>
  </conditionalFormatting>
  <dataValidations count="2">
    <dataValidation type="list" sqref="L10:L46">
      <formula1>"Not Started,Pass,Fail,Blocked,N/A"</formula1>
    </dataValidation>
    <dataValidation type="list" sqref="L2:L46">
      <formula1>"Not Started,Pass,Fail,Blocked,N/A"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BEBEB"/>
  </sheetPr>
  <dimension ref="A1:C16"/>
  <sheetFormatPr defaultRowHeight="15" outlineLevelRow="0" outlineLevelCol="0" x14ac:dyDescent="55"/>
  <cols>
    <col min="1" max="1" width="18" customWidth="1"/>
    <col min="2" max="2" width="12" customWidth="1"/>
    <col min="3" max="3" width="14" customWidth="1"/>
  </cols>
  <sheetData>
    <row r="1" ht="22" customHeight="1" spans="1:3" x14ac:dyDescent="0.25">
      <c r="A1" s="4" t="s">
        <v>33</v>
      </c>
      <c r="B1" s="4" t="s">
        <v>338</v>
      </c>
      <c r="C1" s="4" t="s">
        <v>339</v>
      </c>
    </row>
    <row r="2" spans="1:3" x14ac:dyDescent="0.25">
      <c r="A2" t="s">
        <v>47</v>
      </c>
      <c r="B2">
        <f>COUNTIF('Test Plan'!L2:L46,"Not Started")</f>
      </c>
      <c r="C2" s="10">
        <f>COUNTIF('Test Plan'!L2:L46,"Not Started")/45</f>
      </c>
    </row>
    <row r="3" spans="1:3" x14ac:dyDescent="0.25">
      <c r="A3" t="s">
        <v>340</v>
      </c>
      <c r="B3">
        <f>COUNTIF('Test Plan'!L2:L46,"Pass")</f>
      </c>
      <c r="C3" s="10">
        <f>COUNTIF('Test Plan'!L2:L46,"Pass")/45</f>
      </c>
    </row>
    <row r="4" spans="1:3" x14ac:dyDescent="0.25">
      <c r="A4" t="s">
        <v>341</v>
      </c>
      <c r="B4">
        <f>COUNTIF('Test Plan'!L2:L46,"Fail")</f>
      </c>
      <c r="C4" s="10">
        <f>COUNTIF('Test Plan'!L2:L46,"Fail")/45</f>
      </c>
    </row>
    <row r="5" spans="1:3" x14ac:dyDescent="0.25">
      <c r="A5" t="s">
        <v>342</v>
      </c>
      <c r="B5">
        <f>COUNTIF('Test Plan'!L2:L46,"Blocked")</f>
      </c>
      <c r="C5" s="10">
        <f>COUNTIF('Test Plan'!L2:L46,"Blocked")/45</f>
      </c>
    </row>
    <row r="6" spans="1:3" x14ac:dyDescent="0.25">
      <c r="A6" t="s">
        <v>343</v>
      </c>
      <c r="B6">
        <f>COUNTIF('Test Plan'!L2:L46,"N/A")</f>
      </c>
      <c r="C6" s="10">
        <f>COUNTIF('Test Plan'!L2:L46,"N/A")/45</f>
      </c>
    </row>
    <row r="8" spans="1:3" x14ac:dyDescent="0.25">
      <c r="A8" s="11" t="s">
        <v>344</v>
      </c>
      <c r="B8" s="11">
        <v>45</v>
      </c>
      <c r="C8" t="s">
        <v>1</v>
      </c>
    </row>
    <row r="10" ht="22" customHeight="1" spans="1:3" x14ac:dyDescent="0.25">
      <c r="A10" s="4" t="s">
        <v>345</v>
      </c>
      <c r="B10" s="4" t="s">
        <v>338</v>
      </c>
      <c r="C10" s="4" t="s">
        <v>339</v>
      </c>
    </row>
    <row r="11" spans="1:3" x14ac:dyDescent="0.25">
      <c r="A11" t="s">
        <v>45</v>
      </c>
      <c r="B11">
        <f>COUNTIF('Test Plan'!J2:J46,"E2E")</f>
      </c>
      <c r="C11" s="10">
        <f>COUNTIF('Test Plan'!J2:J46,"E2E")/45</f>
      </c>
    </row>
    <row r="12" spans="1:3" x14ac:dyDescent="0.25">
      <c r="A12" t="s">
        <v>109</v>
      </c>
      <c r="B12">
        <f>COUNTIF('Test Plan'!J2:J46,"Unit + E2E")</f>
      </c>
      <c r="C12" s="10">
        <f>COUNTIF('Test Plan'!J2:J46,"Unit + E2E")/45</f>
      </c>
    </row>
    <row r="13" spans="1:3" x14ac:dyDescent="0.25">
      <c r="A13" t="s">
        <v>116</v>
      </c>
      <c r="B13">
        <f>COUNTIF('Test Plan'!J2:J46,"E2E (smoke)")</f>
      </c>
      <c r="C13" s="10">
        <f>COUNTIF('Test Plan'!J2:J46,"E2E (smoke)")/45</f>
      </c>
    </row>
    <row r="14" spans="1:3" x14ac:dyDescent="0.25">
      <c r="A14" t="s">
        <v>82</v>
      </c>
      <c r="B14">
        <f>COUNTIF('Test Plan'!J2:J46,"Unit")</f>
      </c>
      <c r="C14" s="10">
        <f>COUNTIF('Test Plan'!J2:J46,"Unit")/45</f>
      </c>
    </row>
    <row r="15" spans="1:3" x14ac:dyDescent="0.25">
      <c r="A15" t="s">
        <v>172</v>
      </c>
      <c r="B15">
        <f>COUNTIF('Test Plan'!J2:J46,"Manual")</f>
      </c>
      <c r="C15" s="10">
        <f>COUNTIF('Test Plan'!J2:J46,"Manual")/45</f>
      </c>
    </row>
    <row r="16" spans="1:3" x14ac:dyDescent="0.25">
      <c r="A16" s="11" t="s">
        <v>346</v>
      </c>
      <c r="B16" s="11">
        <f>45-COUNTIF('Test Plan'!J2:J46,"Manual")</f>
      </c>
      <c r="C16" s="12">
        <f>(45-COUNTIF('Test Plan'!J2:J46,"Manual"))/45</f>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Test Plan</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Evoca QA</dc:creator>
  <dc:title/>
  <dc:subject/>
  <dc:description/>
  <cp:keywords/>
  <cp:category/>
  <cp:lastModifiedBy>Unknown</cp:lastModifiedBy>
  <dcterms:created xsi:type="dcterms:W3CDTF">2026-06-29T16:49:19Z</dcterms:created>
  <dcterms:modified xsi:type="dcterms:W3CDTF">2026-06-29T16:49:19Z</dcterms:modified>
</cp:coreProperties>
</file>